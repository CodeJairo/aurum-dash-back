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a" sheetId="1" r:id="rId4"/>
  </sheets>
  <definedNames/>
  <calcPr/>
  <extLst>
    <ext uri="GoogleSheetsCustomDataVersion2">
      <go:sheetsCustomData xmlns:go="http://customooxmlschemas.google.com/" r:id="rId5" roundtripDataChecksum="mowSmV6r5uhEIxw/dlByxuCMqoSfxJqPrTStGUP+ffw="/>
    </ext>
  </extLst>
</workbook>
</file>

<file path=xl/sharedStrings.xml><?xml version="1.0" encoding="utf-8"?>
<sst xmlns="http://schemas.openxmlformats.org/spreadsheetml/2006/main" count="21" uniqueCount="21">
  <si>
    <t>RECEPCION DE MATERIAL</t>
  </si>
  <si>
    <t>Fecha de entrega:</t>
  </si>
  <si>
    <t xml:space="preserve">CONSECUTIVO N.º </t>
  </si>
  <si>
    <t xml:space="preserve">Nombre </t>
  </si>
  <si>
    <t>YORDI</t>
  </si>
  <si>
    <t>BRUTOS</t>
  </si>
  <si>
    <t>Cuidad:</t>
  </si>
  <si>
    <t>Quibdo-Choco</t>
  </si>
  <si>
    <t>LEY</t>
  </si>
  <si>
    <t>País:</t>
  </si>
  <si>
    <r>
      <rPr>
        <rFont val="Arial Narrow"/>
        <color rgb="FF404040"/>
        <sz val="11.0"/>
      </rPr>
      <t>Colombia</t>
    </r>
  </si>
  <si>
    <t xml:space="preserve">RECEPCION DE MERCANCIA </t>
  </si>
  <si>
    <t>Descripción</t>
  </si>
  <si>
    <t>Gramos Oro Fino</t>
  </si>
  <si>
    <r>
      <rPr>
        <rFont val="Arial Narrow"/>
        <b/>
        <color rgb="FF44526A"/>
        <sz val="11.0"/>
      </rPr>
      <t>Valor Gramo</t>
    </r>
  </si>
  <si>
    <t>Valor total</t>
  </si>
  <si>
    <t>ORO</t>
  </si>
  <si>
    <r>
      <rPr>
        <rFont val="Arial Narrow"/>
        <color rgb="FF404040"/>
        <sz val="11.0"/>
      </rPr>
      <t>Entregado :</t>
    </r>
  </si>
  <si>
    <r>
      <rPr>
        <rFont val="Arial Narrow"/>
        <color rgb="FF404040"/>
        <sz val="11.0"/>
      </rPr>
      <t>Firma de Recibido :</t>
    </r>
  </si>
  <si>
    <t xml:space="preserve"> Total</t>
  </si>
  <si>
    <t>Total a Pagar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</si>
</sst>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#,##0.0000"/>
    <numFmt numFmtId="166" formatCode="_-&quot;$&quot;\ * #,##0_-;\-&quot;$&quot;\ * #,##0_-;_-&quot;$&quot;\ * &quot;-&quot;??_-;_-@"/>
  </numFmts>
  <fonts count="12">
    <font>
      <sz val="10.0"/>
      <color rgb="FF000000"/>
      <name val="Times New Roman"/>
      <scheme val="minor"/>
    </font>
    <font>
      <sz val="11.0"/>
      <color rgb="FF000000"/>
      <name val="Arial Narrow"/>
    </font>
    <font>
      <sz val="24.0"/>
      <color rgb="FF000000"/>
      <name val="Arial Narrow"/>
    </font>
    <font/>
    <font>
      <b/>
      <sz val="11.0"/>
      <color theme="1"/>
      <name val="Arial Narrow"/>
    </font>
    <font>
      <b/>
      <sz val="11.0"/>
      <color rgb="FF44526A"/>
      <name val="Arial Narrow"/>
    </font>
    <font>
      <b/>
      <sz val="12.0"/>
      <color rgb="FF404040"/>
      <name val="Arial Narrow"/>
    </font>
    <font>
      <b/>
      <sz val="11.0"/>
      <color rgb="FF000000"/>
      <name val="Arial Narrow"/>
    </font>
    <font>
      <sz val="11.0"/>
      <color theme="1"/>
      <name val="Arial Narrow"/>
    </font>
    <font>
      <sz val="11.0"/>
      <color rgb="FF404040"/>
      <name val="Arial Narrow"/>
    </font>
    <font>
      <b/>
      <sz val="11.0"/>
      <color rgb="FF404040"/>
      <name val="Arial Narrow"/>
    </font>
    <font>
      <sz val="11.0"/>
      <color rgb="FF44526A"/>
      <name val="Arial Narrow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4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vertical="top"/>
    </xf>
    <xf borderId="1" fillId="0" fontId="2" numFmtId="0" xfId="0" applyAlignment="1" applyBorder="1" applyFont="1">
      <alignment horizontal="center" vertical="top"/>
    </xf>
    <xf borderId="2" fillId="0" fontId="3" numFmtId="0" xfId="0" applyAlignment="1" applyBorder="1" applyFont="1">
      <alignment horizontal="left" vertical="top"/>
    </xf>
    <xf borderId="3" fillId="0" fontId="3" numFmtId="0" xfId="0" applyAlignment="1" applyBorder="1" applyFont="1">
      <alignment horizontal="left" vertical="top"/>
    </xf>
    <xf borderId="4" fillId="0" fontId="3" numFmtId="0" xfId="0" applyAlignment="1" applyBorder="1" applyFont="1">
      <alignment horizontal="left" vertical="top"/>
    </xf>
    <xf borderId="5" fillId="0" fontId="3" numFmtId="0" xfId="0" applyAlignment="1" applyBorder="1" applyFont="1">
      <alignment horizontal="left" vertical="top"/>
    </xf>
    <xf borderId="6" fillId="0" fontId="3" numFmtId="0" xfId="0" applyAlignment="1" applyBorder="1" applyFont="1">
      <alignment horizontal="left" vertical="top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2" fontId="4" numFmtId="0" xfId="0" applyAlignment="1" applyBorder="1" applyFill="1" applyFont="1">
      <alignment horizontal="right" shrinkToFit="0" vertical="center" wrapText="1"/>
    </xf>
    <xf borderId="10" fillId="2" fontId="1" numFmtId="0" xfId="0" applyAlignment="1" applyBorder="1" applyFill="1" applyFont="1">
      <alignment horizontal="left" shrinkToFit="0" vertical="center" wrapText="1"/>
    </xf>
    <xf borderId="10" fillId="2" fontId="5" numFmtId="0" xfId="0" applyAlignment="1" applyBorder="1" applyFill="1" applyFont="1">
      <alignment horizontal="right" shrinkToFit="0" vertical="center" wrapText="1"/>
    </xf>
    <xf borderId="11" fillId="0" fontId="6" numFmtId="164" xfId="0" applyAlignment="1" applyBorder="1" applyFont="1" applyNumberFormat="1">
      <alignment horizontal="center" shrinkToFit="0" vertical="top" wrapText="1"/>
    </xf>
    <xf borderId="12" fillId="2" fontId="7" numFmtId="0" xfId="0" applyAlignment="1" applyBorder="1" applyFill="1" applyFont="1">
      <alignment horizontal="right" vertical="top"/>
    </xf>
    <xf borderId="13" fillId="2" fontId="1" numFmtId="0" xfId="0" applyAlignment="1" applyBorder="1" applyFill="1" applyFont="1">
      <alignment horizontal="left" vertical="top"/>
    </xf>
    <xf borderId="13" fillId="2" fontId="1" numFmtId="0" xfId="0" applyAlignment="1" applyBorder="1" applyFill="1" applyFont="1">
      <alignment horizontal="left" shrinkToFit="0" vertical="center" wrapText="1"/>
    </xf>
    <xf borderId="13" fillId="2" fontId="5" numFmtId="0" xfId="0" applyAlignment="1" applyBorder="1" applyFill="1" applyFont="1">
      <alignment horizontal="right" shrinkToFit="0" vertical="center" wrapText="1"/>
    </xf>
    <xf borderId="14" fillId="3" fontId="7" numFmtId="1" xfId="0" applyAlignment="1" applyBorder="1" applyFill="1" applyFont="1" applyNumberFormat="1">
      <alignment horizontal="center" shrinkToFit="1" vertical="center" wrapText="0"/>
    </xf>
    <xf borderId="12" fillId="2" fontId="7" numFmtId="0" xfId="0" applyAlignment="1" applyBorder="1" applyFill="1" applyFont="1">
      <alignment horizontal="left" vertical="top"/>
    </xf>
    <xf borderId="15" fillId="2" fontId="8" numFmtId="0" xfId="0" applyAlignment="1" applyBorder="1" applyFill="1" applyFont="1">
      <alignment horizontal="left" shrinkToFit="0" vertical="top" wrapText="1"/>
    </xf>
    <xf borderId="16" fillId="0" fontId="3" numFmtId="0" xfId="0" applyAlignment="1" applyBorder="1" applyFont="1">
      <alignment horizontal="left" vertical="top"/>
    </xf>
    <xf borderId="14" fillId="2" fontId="1" numFmtId="0" xfId="0" applyAlignment="1" applyBorder="1" applyFill="1" applyFont="1">
      <alignment horizontal="left" shrinkToFit="0" vertical="center" wrapText="1"/>
    </xf>
    <xf borderId="17" fillId="2" fontId="8" numFmtId="0" xfId="0" applyAlignment="1" applyBorder="1" applyFill="1" applyFont="1">
      <alignment horizontal="left" shrinkToFit="0" vertical="top" wrapText="1"/>
    </xf>
    <xf borderId="18" fillId="0" fontId="3" numFmtId="0" xfId="0" applyAlignment="1" applyBorder="1" applyFont="1">
      <alignment horizontal="left" vertical="top"/>
    </xf>
    <xf borderId="13" fillId="2" fontId="1" numFmtId="0" xfId="0" applyAlignment="1" applyBorder="1" applyFill="1" applyFont="1">
      <alignment horizontal="left" shrinkToFit="0" vertical="bottom" wrapText="1"/>
    </xf>
    <xf borderId="19" fillId="2" fontId="1" numFmtId="0" xfId="0" applyAlignment="1" applyBorder="1" applyFill="1" applyFont="1">
      <alignment horizontal="left" shrinkToFit="0" vertical="bottom" wrapText="1"/>
    </xf>
    <xf borderId="20" fillId="2" fontId="1" numFmtId="4" xfId="0" applyAlignment="1" applyBorder="1" applyFill="1" applyFont="1" applyNumberFormat="1">
      <alignment horizontal="left" shrinkToFit="0" vertical="bottom" wrapText="1"/>
    </xf>
    <xf borderId="10" fillId="2" fontId="9" numFmtId="0" xfId="0" applyAlignment="1" applyBorder="1" applyFill="1" applyFont="1">
      <alignment horizontal="left" shrinkToFit="0" vertical="top" wrapText="1"/>
    </xf>
    <xf borderId="10" fillId="2" fontId="1" numFmtId="0" xfId="0" applyAlignment="1" applyBorder="1" applyFill="1" applyFont="1">
      <alignment horizontal="left" shrinkToFit="0" vertical="bottom" wrapText="1"/>
    </xf>
    <xf borderId="20" fillId="2" fontId="1" numFmtId="3" xfId="0" applyAlignment="1" applyBorder="1" applyFill="1" applyFont="1" applyNumberFormat="1">
      <alignment horizontal="left" shrinkToFit="0" vertical="bottom" wrapText="1"/>
    </xf>
    <xf borderId="10" fillId="2" fontId="8" numFmtId="0" xfId="0" applyAlignment="1" applyBorder="1" applyFill="1" applyFont="1">
      <alignment horizontal="left" shrinkToFit="0" vertical="top" wrapText="1"/>
    </xf>
    <xf borderId="14" fillId="2" fontId="1" numFmtId="9" xfId="0" applyAlignment="1" applyBorder="1" applyFill="1" applyFont="1" applyNumberFormat="1">
      <alignment horizontal="left" shrinkToFit="0" vertical="bottom" wrapText="1"/>
    </xf>
    <xf borderId="12" fillId="2" fontId="1" numFmtId="0" xfId="0" applyAlignment="1" applyBorder="1" applyFill="1" applyFont="1">
      <alignment horizontal="left" shrinkToFit="0" vertical="bottom" wrapText="1"/>
    </xf>
    <xf borderId="13" fillId="2" fontId="4" numFmtId="0" xfId="0" applyAlignment="1" applyBorder="1" applyFill="1" applyFont="1">
      <alignment horizontal="left" shrinkToFit="0" vertical="top" wrapText="1"/>
    </xf>
    <xf borderId="14" fillId="2" fontId="1" numFmtId="0" xfId="0" applyAlignment="1" applyBorder="1" applyFill="1" applyFont="1">
      <alignment horizontal="left" vertical="top"/>
    </xf>
    <xf borderId="21" fillId="2" fontId="10" numFmtId="0" xfId="0" applyAlignment="1" applyBorder="1" applyFill="1" applyFont="1">
      <alignment horizontal="center" shrinkToFit="0" vertical="top" wrapText="1"/>
    </xf>
    <xf borderId="11" fillId="0" fontId="3" numFmtId="0" xfId="0" applyAlignment="1" applyBorder="1" applyFont="1">
      <alignment horizontal="left" vertical="top"/>
    </xf>
    <xf borderId="22" fillId="2" fontId="4" numFmtId="0" xfId="0" applyAlignment="1" applyBorder="1" applyFill="1" applyFont="1">
      <alignment horizontal="center" shrinkToFit="0" vertical="center" wrapText="1"/>
    </xf>
    <xf borderId="23" fillId="0" fontId="3" numFmtId="0" xfId="0" applyAlignment="1" applyBorder="1" applyFont="1">
      <alignment horizontal="left" vertical="top"/>
    </xf>
    <xf borderId="13" fillId="2" fontId="4" numFmtId="0" xfId="0" applyAlignment="1" applyBorder="1" applyFill="1" applyFont="1">
      <alignment horizontal="right" shrinkToFit="0" vertical="center" wrapText="1"/>
    </xf>
    <xf borderId="13" fillId="2" fontId="5" numFmtId="0" xfId="0" applyAlignment="1" applyBorder="1" applyFill="1" applyFont="1">
      <alignment horizontal="center" shrinkToFit="0" vertical="center" wrapText="1"/>
    </xf>
    <xf borderId="13" fillId="2" fontId="4" numFmtId="0" xfId="0" applyAlignment="1" applyBorder="1" applyFill="1" applyFont="1">
      <alignment horizontal="left" shrinkToFit="0" vertical="center" wrapText="1"/>
    </xf>
    <xf borderId="14" fillId="2" fontId="5" numFmtId="0" xfId="0" applyAlignment="1" applyBorder="1" applyFill="1" applyFont="1">
      <alignment horizontal="left" shrinkToFit="0" vertical="center" wrapText="1"/>
    </xf>
    <xf borderId="24" fillId="2" fontId="1" numFmtId="4" xfId="0" applyAlignment="1" applyBorder="1" applyFill="1" applyFont="1" applyNumberFormat="1">
      <alignment horizontal="center" shrinkToFit="1" vertical="top" wrapText="0"/>
    </xf>
    <xf borderId="25" fillId="0" fontId="3" numFmtId="0" xfId="0" applyAlignment="1" applyBorder="1" applyFont="1">
      <alignment horizontal="left" vertical="top"/>
    </xf>
    <xf borderId="26" fillId="2" fontId="8" numFmtId="0" xfId="0" applyAlignment="1" applyBorder="1" applyFill="1" applyFont="1">
      <alignment horizontal="right" shrinkToFit="0" vertical="top" wrapText="1"/>
    </xf>
    <xf borderId="27" fillId="2" fontId="1" numFmtId="165" xfId="0" applyAlignment="1" applyBorder="1" applyFill="1" applyFont="1" applyNumberFormat="1">
      <alignment horizontal="center" shrinkToFit="1" vertical="top" wrapText="0"/>
    </xf>
    <xf borderId="27" fillId="2" fontId="8" numFmtId="166" xfId="0" applyAlignment="1" applyBorder="1" applyFill="1" applyFont="1" applyNumberFormat="1">
      <alignment horizontal="left" shrinkToFit="0" vertical="top" wrapText="1"/>
    </xf>
    <xf borderId="28" fillId="2" fontId="8" numFmtId="166" xfId="0" applyAlignment="1" applyBorder="1" applyFill="1" applyFont="1" applyNumberFormat="1">
      <alignment horizontal="left" shrinkToFit="0" vertical="top" wrapText="1"/>
    </xf>
    <xf borderId="29" fillId="2" fontId="1" numFmtId="0" xfId="0" applyAlignment="1" applyBorder="1" applyFill="1" applyFont="1">
      <alignment horizontal="left" shrinkToFit="0" vertical="bottom" wrapText="1"/>
    </xf>
    <xf borderId="29" fillId="2" fontId="1" numFmtId="0" xfId="0" applyAlignment="1" applyBorder="1" applyFill="1" applyFont="1">
      <alignment horizontal="left" vertical="top"/>
    </xf>
    <xf borderId="30" fillId="2" fontId="1" numFmtId="0" xfId="0" applyAlignment="1" applyBorder="1" applyFill="1" applyFont="1">
      <alignment horizontal="left" shrinkToFit="0" vertical="bottom" wrapText="1"/>
    </xf>
    <xf borderId="31" fillId="2" fontId="1" numFmtId="0" xfId="0" applyAlignment="1" applyBorder="1" applyFill="1" applyFont="1">
      <alignment horizontal="left" shrinkToFit="0" vertical="bottom" wrapText="1"/>
    </xf>
    <xf borderId="32" fillId="2" fontId="1" numFmtId="0" xfId="0" applyAlignment="1" applyBorder="1" applyFill="1" applyFont="1">
      <alignment horizontal="left" shrinkToFit="0" vertical="bottom" wrapText="1"/>
    </xf>
    <xf borderId="33" fillId="2" fontId="1" numFmtId="0" xfId="0" applyAlignment="1" applyBorder="1" applyFill="1" applyFont="1">
      <alignment horizontal="left" shrinkToFit="0" vertical="bottom" wrapText="1"/>
    </xf>
    <xf borderId="34" fillId="2" fontId="8" numFmtId="0" xfId="0" applyAlignment="1" applyBorder="1" applyFill="1" applyFont="1">
      <alignment horizontal="left" shrinkToFit="0" vertical="top" wrapText="1"/>
    </xf>
    <xf borderId="35" fillId="0" fontId="3" numFmtId="0" xfId="0" applyAlignment="1" applyBorder="1" applyFont="1">
      <alignment horizontal="left" vertical="top"/>
    </xf>
    <xf borderId="36" fillId="2" fontId="8" numFmtId="0" xfId="0" applyAlignment="1" applyBorder="1" applyFill="1" applyFont="1">
      <alignment horizontal="left" shrinkToFit="0" vertical="top" wrapText="1"/>
    </xf>
    <xf borderId="19" fillId="2" fontId="11" numFmtId="0" xfId="0" applyAlignment="1" applyBorder="1" applyFill="1" applyFont="1">
      <alignment horizontal="right" shrinkToFit="0" vertical="top" wrapText="1"/>
    </xf>
    <xf borderId="20" fillId="2" fontId="1" numFmtId="166" xfId="0" applyAlignment="1" applyBorder="1" applyFill="1" applyFont="1" applyNumberFormat="1">
      <alignment horizontal="right" shrinkToFit="0" vertical="top" wrapText="1"/>
    </xf>
    <xf borderId="37" fillId="0" fontId="3" numFmtId="0" xfId="0" applyAlignment="1" applyBorder="1" applyFont="1">
      <alignment horizontal="left" vertical="top"/>
    </xf>
    <xf borderId="38" fillId="0" fontId="3" numFmtId="0" xfId="0" applyAlignment="1" applyBorder="1" applyFont="1">
      <alignment horizontal="left" vertical="top"/>
    </xf>
    <xf borderId="19" fillId="2" fontId="1" numFmtId="0" xfId="0" applyAlignment="1" applyBorder="1" applyFill="1" applyFont="1">
      <alignment horizontal="left" vertical="top"/>
    </xf>
    <xf borderId="20" fillId="2" fontId="1" numFmtId="166" xfId="0" applyAlignment="1" applyBorder="1" applyFill="1" applyFont="1" applyNumberFormat="1">
      <alignment horizontal="left" vertical="top"/>
    </xf>
    <xf borderId="39" fillId="0" fontId="3" numFmtId="0" xfId="0" applyAlignment="1" applyBorder="1" applyFont="1">
      <alignment horizontal="left" vertical="top"/>
    </xf>
    <xf borderId="40" fillId="0" fontId="3" numFmtId="0" xfId="0" applyAlignment="1" applyBorder="1" applyFont="1">
      <alignment horizontal="left" vertical="top"/>
    </xf>
    <xf borderId="41" fillId="0" fontId="3" numFmtId="0" xfId="0" applyAlignment="1" applyBorder="1" applyFont="1">
      <alignment horizontal="left" vertical="top"/>
    </xf>
    <xf borderId="42" fillId="2" fontId="5" numFmtId="0" xfId="0" applyAlignment="1" applyBorder="1" applyFill="1" applyFont="1">
      <alignment horizontal="right" shrinkToFit="0" vertical="top" wrapText="1"/>
    </xf>
    <xf borderId="43" fillId="2" fontId="1" numFmtId="166" xfId="0" applyAlignment="1" applyBorder="1" applyFill="1" applyFont="1" applyNumberForma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4.29"/>
    <col customWidth="1" min="3" max="3" width="17.0"/>
    <col customWidth="1" min="4" max="4" width="19.86"/>
    <col customWidth="1" min="5" max="5" width="18.0"/>
    <col customWidth="1" min="6" max="6" width="28.86"/>
    <col customWidth="1" min="7" max="7" width="28.0"/>
    <col customWidth="1" min="8" max="26" width="9.29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2" t="s">
        <v>0</v>
      </c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5"/>
      <c r="G3" s="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5"/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/>
      <c r="B5" s="7"/>
      <c r="C5" s="8"/>
      <c r="D5" s="8"/>
      <c r="E5" s="8"/>
      <c r="F5" s="8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0" customHeight="1">
      <c r="A6" s="1"/>
      <c r="B6" s="10"/>
      <c r="C6" s="11"/>
      <c r="D6" s="11"/>
      <c r="E6" s="11"/>
      <c r="F6" s="12" t="s">
        <v>1</v>
      </c>
      <c r="G6" s="13">
        <f>TODAY()</f>
        <v>46322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1"/>
      <c r="B7" s="14"/>
      <c r="C7" s="15"/>
      <c r="D7" s="15"/>
      <c r="E7" s="16"/>
      <c r="F7" s="17" t="s">
        <v>2</v>
      </c>
      <c r="G7" s="18">
        <v>1.0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9"/>
      <c r="C8" s="20"/>
      <c r="D8" s="21"/>
      <c r="E8" s="16"/>
      <c r="F8" s="16"/>
      <c r="G8" s="2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9" t="s">
        <v>3</v>
      </c>
      <c r="C9" s="23" t="s">
        <v>4</v>
      </c>
      <c r="D9" s="24"/>
      <c r="E9" s="25"/>
      <c r="F9" s="26" t="s">
        <v>5</v>
      </c>
      <c r="G9" s="27">
        <v>103.39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9" t="s">
        <v>6</v>
      </c>
      <c r="C10" s="28" t="s">
        <v>7</v>
      </c>
      <c r="D10" s="29"/>
      <c r="E10" s="25"/>
      <c r="F10" s="26" t="s">
        <v>8</v>
      </c>
      <c r="G10" s="30">
        <v>879.0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9" t="s">
        <v>9</v>
      </c>
      <c r="C11" s="31" t="s">
        <v>10</v>
      </c>
      <c r="D11" s="31"/>
      <c r="E11" s="25"/>
      <c r="F11" s="25"/>
      <c r="G11" s="3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33"/>
      <c r="C12" s="25"/>
      <c r="D12" s="25"/>
      <c r="E12" s="34"/>
      <c r="F12" s="15"/>
      <c r="G12" s="3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3.0" customHeight="1">
      <c r="A13" s="1"/>
      <c r="B13" s="36" t="s">
        <v>11</v>
      </c>
      <c r="C13" s="24"/>
      <c r="D13" s="24"/>
      <c r="E13" s="24"/>
      <c r="F13" s="24"/>
      <c r="G13" s="3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38" t="s">
        <v>12</v>
      </c>
      <c r="C14" s="39"/>
      <c r="D14" s="40"/>
      <c r="E14" s="41" t="s">
        <v>13</v>
      </c>
      <c r="F14" s="42" t="s">
        <v>14</v>
      </c>
      <c r="G14" s="43" t="s">
        <v>15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44" t="s">
        <v>16</v>
      </c>
      <c r="C15" s="45"/>
      <c r="D15" s="46"/>
      <c r="E15" s="47" t="str">
        <f>FIXED(((G9*G10)/1000),2,0)</f>
        <v>90,88</v>
      </c>
      <c r="F15" s="48">
        <v>376000.0</v>
      </c>
      <c r="G15" s="49">
        <f>E15*F15</f>
        <v>34170880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33"/>
      <c r="C16" s="25"/>
      <c r="D16" s="25"/>
      <c r="E16" s="50"/>
      <c r="F16" s="51"/>
      <c r="G16" s="3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52"/>
      <c r="C17" s="53"/>
      <c r="D17" s="53"/>
      <c r="E17" s="54"/>
      <c r="F17" s="54"/>
      <c r="G17" s="5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56" t="s">
        <v>17</v>
      </c>
      <c r="C18" s="57"/>
      <c r="D18" s="58" t="s">
        <v>18</v>
      </c>
      <c r="E18" s="57"/>
      <c r="F18" s="59" t="s">
        <v>19</v>
      </c>
      <c r="G18" s="60">
        <f>+G15</f>
        <v>34170880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5"/>
      <c r="C19" s="61"/>
      <c r="D19" s="62"/>
      <c r="E19" s="61"/>
      <c r="F19" s="59"/>
      <c r="G19" s="6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5"/>
      <c r="C20" s="61"/>
      <c r="D20" s="62"/>
      <c r="E20" s="61"/>
      <c r="F20" s="63"/>
      <c r="G20" s="6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65"/>
      <c r="C21" s="66"/>
      <c r="D21" s="67"/>
      <c r="E21" s="66"/>
      <c r="F21" s="68" t="s">
        <v>20</v>
      </c>
      <c r="G21" s="69">
        <f>+G15</f>
        <v>34170880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</sheetData>
  <mergeCells count="8">
    <mergeCell ref="B2:G5"/>
    <mergeCell ref="C8:D8"/>
    <mergeCell ref="C9:D9"/>
    <mergeCell ref="B13:G13"/>
    <mergeCell ref="B14:C14"/>
    <mergeCell ref="B15:C15"/>
    <mergeCell ref="B18:C21"/>
    <mergeCell ref="D18:E21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2022-11-09T17:13:00Z</dcterms:created>
  <dc:creator>SALA JUNTAS</dc:creator>
</cp:coreProperties>
</file>